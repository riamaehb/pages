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ba9c78617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8ae6ba9fbb804a5f"/>
    <x:sheet xmlns:r="http://schemas.openxmlformats.org/officeDocument/2006/relationships" name="Data_Dictionary" sheetId="2" r:id="R6773b02fd78d4c36"/>
    <x:sheet xmlns:r="http://schemas.openxmlformats.org/officeDocument/2006/relationships" name="Source_Register" sheetId="3" r:id="R74de2ad7d9544560"/>
    <x:sheet xmlns:r="http://schemas.openxmlformats.org/officeDocument/2006/relationships" name="Raw_Data" sheetId="4" r:id="R0fb5abdf34bb4ced"/>
    <x:sheet xmlns:r="http://schemas.openxmlformats.org/officeDocument/2006/relationships" name="Reference_Lists" sheetId="5" r:id="Rbeb6ef39700a46ab"/>
    <x:sheet xmlns:r="http://schemas.openxmlformats.org/officeDocument/2006/relationships" name="Working_Data" sheetId="6" r:id="R2eda9d7e92d24a24"/>
    <x:sheet xmlns:r="http://schemas.openxmlformats.org/officeDocument/2006/relationships" name="Review_Queue" sheetId="7" r:id="Rfba5e4cd5d7f4de5"/>
    <x:sheet xmlns:r="http://schemas.openxmlformats.org/officeDocument/2006/relationships" name="Cleaning_Log" sheetId="8" r:id="R6dc7faeaeb424407"/>
    <x:sheet xmlns:r="http://schemas.openxmlformats.org/officeDocument/2006/relationships" name="Summary" sheetId="9" r:id="Rdbbf166177fb45fb"/>
    <x:sheet xmlns:r="http://schemas.openxmlformats.org/officeDocument/2006/relationships" name="Quality_Checks" sheetId="10" r:id="R137f607bf9a0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2E36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7e1e7b8e0440f" /><Relationship Type="http://schemas.openxmlformats.org/officeDocument/2006/relationships/theme" Target="/xl/theme/theme1.xml" Id="R48e8485f33074a6d" /><Relationship Type="http://schemas.openxmlformats.org/officeDocument/2006/relationships/sharedStrings" Target="/xl/sharedStrings.xml" Id="R6d4cea6f03b546e7" /><Relationship Type="http://schemas.openxmlformats.org/officeDocument/2006/relationships/worksheet" Target="/xl/worksheets/sheet1.xml" Id="R8ae6ba9fbb804a5f" /><Relationship Type="http://schemas.openxmlformats.org/officeDocument/2006/relationships/worksheet" Target="/xl/worksheets/sheet2.xml" Id="R6773b02fd78d4c36" /><Relationship Type="http://schemas.openxmlformats.org/officeDocument/2006/relationships/worksheet" Target="/xl/worksheets/sheet3.xml" Id="R74de2ad7d9544560" /><Relationship Type="http://schemas.openxmlformats.org/officeDocument/2006/relationships/worksheet" Target="/xl/worksheets/sheet4.xml" Id="R0fb5abdf34bb4ced" /><Relationship Type="http://schemas.openxmlformats.org/officeDocument/2006/relationships/worksheet" Target="/xl/worksheets/sheet5.xml" Id="Rbeb6ef39700a46ab" /><Relationship Type="http://schemas.openxmlformats.org/officeDocument/2006/relationships/worksheet" Target="/xl/worksheets/sheet6.xml" Id="R2eda9d7e92d24a24" /><Relationship Type="http://schemas.openxmlformats.org/officeDocument/2006/relationships/worksheet" Target="/xl/worksheets/sheet7.xml" Id="Rfba5e4cd5d7f4de5" /><Relationship Type="http://schemas.openxmlformats.org/officeDocument/2006/relationships/worksheet" Target="/xl/worksheets/sheet8.xml" Id="R6dc7faeaeb424407" /><Relationship Type="http://schemas.openxmlformats.org/officeDocument/2006/relationships/worksheet" Target="/xl/worksheets/sheet9.xml" Id="Rdbbf166177fb45fb" /><Relationship Type="http://schemas.openxmlformats.org/officeDocument/2006/relationships/worksheet" Target="/xl/worksheets/sheet10.xml" Id="R137f607bf9a041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10" hidden="0" customWidth="1"/>
  </x:cols>
  <x:sheetData>
    <x:row r="1" ht="32" customHeight="1">
      <x:c r="A1" s="3" t="str">
        <x:v>LGU REPORTING WORKBOOK</x:v>
      </x:c>
      <x:c r="B1" s="3" t="str">
        <x:v>HOW TO USE</x:v>
      </x:c>
    </x:row>
    <x:row r="2">
      <x:c r="A2" t="str">
        <x:v>Purpose</x:v>
      </x:c>
      <x:c r="B2" t="str">
        <x:v>Adapt this template to an authorized recurring administrative report. All examples are fictional.</x:v>
      </x:c>
    </x:row>
    <x:row r="3">
      <x:c r="A3" t="str">
        <x:v>1. Define the unit of record</x:v>
      </x:c>
      <x:c r="B3" t="str">
        <x:v>One row in the sample Raw_Data represents one service application, not one person.</x:v>
      </x:c>
    </x:row>
    <x:row r="4">
      <x:c r="A4" t="str">
        <x:v>2. Define reporting rules</x:v>
      </x:c>
      <x:c r="B4" t="str">
        <x:v>Specify reporting period, numerator, denominator, status and date rules in Data_Dictionary.</x:v>
      </x:c>
    </x:row>
    <x:row r="5">
      <x:c r="A5" t="str">
        <x:v>3. Preserve original sources</x:v>
      </x:c>
      <x:c r="B5" t="str">
        <x:v>Import into a separate source copy before making transformations.</x:v>
      </x:c>
    </x:row>
    <x:row r="6">
      <x:c r="A6" t="str">
        <x:v>4. Review exceptions</x:v>
      </x:c>
      <x:c r="B6" t="str">
        <x:v>Never delete or merge records just because an identifier repeats; distinguish repeat applications from duplicates.</x:v>
      </x:c>
    </x:row>
    <x:row r="7">
      <x:c r="A7" t="str">
        <x:v>5. Update reference lists</x:v>
      </x:c>
      <x:c r="B7" t="str">
        <x:v>Use approved codes/categories from your office.</x:v>
      </x:c>
    </x:row>
    <x:row r="8">
      <x:c r="A8" t="str">
        <x:v>6. Verify outputs</x:v>
      </x:c>
      <x:c r="B8" t="str">
        <x:v>Use Quality_Checks, review the queue, and sign off on the reporting period.</x:v>
      </x:c>
    </x:row>
    <x:row r="9">
      <x:c r="A9" t="str">
        <x:v>7. Protect data</x:v>
      </x:c>
      <x:c r="B9" t="str">
        <x:v>Do not upload real personal records to public tools or share the workbook publicly.</x:v>
      </x:c>
    </x:row>
    <x:row r="10">
      <x:c r="A10" t="str">
        <x:v>Workbook limitations</x:v>
      </x:c>
      <x:c r="B10" t="str">
        <x:v>Illustrative starter: formulas and example data must be adapted and checked before operational use.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52" hidden="0" customWidth="1"/>
    <x:col min="3" max="3" width="18" hidden="0" customWidth="1"/>
    <x:col min="4" max="4" width="15" hidden="0" customWidth="1"/>
    <x:col min="5" max="5" width="56" hidden="0" customWidth="1"/>
    <x:col min="6" max="6" width="25" hidden="0" customWidth="1"/>
  </x:cols>
  <x:sheetData>
    <x:row r="1" ht="32" customHeight="1">
      <x:c r="A1" s="3" t="str">
        <x:v>Field</x:v>
      </x:c>
      <x:c r="B1" s="3" t="str">
        <x:v>Meaning</x:v>
      </x:c>
      <x:c r="C1" s="3" t="str">
        <x:v>Type</x:v>
      </x:c>
      <x:c r="D1" s="3" t="str">
        <x:v>Required?</x:v>
      </x:c>
      <x:c r="E1" s="3" t="str">
        <x:v>Allowed values / rule</x:v>
      </x:c>
      <x:c r="F1" s="3" t="str">
        <x:v>Source / owner</x:v>
      </x:c>
    </x:row>
    <x:row r="2">
      <x:c r="A2" t="str">
        <x:v>Application_ID</x:v>
      </x:c>
      <x:c r="B2" t="str">
        <x:v>Unique identifier for an application</x:v>
      </x:c>
      <x:c r="C2" t="str">
        <x:v>Text</x:v>
      </x:c>
      <x:c r="D2" t="str">
        <x:v>Yes</x:v>
      </x:c>
      <x:c r="E2" t="str">
        <x:v>One per application, not necessarily one per person</x:v>
      </x:c>
      <x:c r="F2" t="str">
        <x:v>Office registry</x:v>
      </x:c>
    </x:row>
    <x:row r="3">
      <x:c r="A3" t="str">
        <x:v>Beneficiary_ID</x:v>
      </x:c>
      <x:c r="B3" t="str">
        <x:v>Pseudonymous identifier for an individual</x:v>
      </x:c>
      <x:c r="C3" t="str">
        <x:v>Text</x:v>
      </x:c>
      <x:c r="D3" t="str">
        <x:v>Yes</x:v>
      </x:c>
      <x:c r="E3" t="str">
        <x:v>May repeat across applications</x:v>
      </x:c>
      <x:c r="F3" t="str">
        <x:v>Office registry</x:v>
      </x:c>
    </x:row>
    <x:row r="4">
      <x:c r="A4" t="str">
        <x:v>Received_Date</x:v>
      </x:c>
      <x:c r="B4" t="str">
        <x:v>Date office received application</x:v>
      </x:c>
      <x:c r="C4" t="str">
        <x:v>Date</x:v>
      </x:c>
      <x:c r="D4" t="str">
        <x:v>Yes</x:v>
      </x:c>
      <x:c r="E4" t="str">
        <x:v>ISO date YYYY-MM-DD</x:v>
      </x:c>
      <x:c r="F4" t="str">
        <x:v>Office registry</x:v>
      </x:c>
    </x:row>
    <x:row r="5">
      <x:c r="A5" t="str">
        <x:v>Barangay</x:v>
      </x:c>
      <x:c r="B5" t="str">
        <x:v>Approved barangay label</x:v>
      </x:c>
      <x:c r="C5" t="str">
        <x:v>Text</x:v>
      </x:c>
      <x:c r="D5" t="str">
        <x:v>Yes</x:v>
      </x:c>
      <x:c r="E5" t="str">
        <x:v>Check Reference_Lists</x:v>
      </x:c>
      <x:c r="F5" t="str">
        <x:v>Office registry</x:v>
      </x:c>
    </x:row>
    <x:row r="6">
      <x:c r="A6" t="str">
        <x:v>Service</x:v>
      </x:c>
      <x:c r="B6" t="str">
        <x:v>Type of service requested</x:v>
      </x:c>
      <x:c r="C6" t="str">
        <x:v>Text</x:v>
      </x:c>
      <x:c r="D6" t="str">
        <x:v>Yes</x:v>
      </x:c>
      <x:c r="E6" t="str">
        <x:v>Check Reference_Lists</x:v>
      </x:c>
      <x:c r="F6" t="str">
        <x:v>Office registry</x:v>
      </x:c>
    </x:row>
    <x:row r="7">
      <x:c r="A7" t="str">
        <x:v>Status</x:v>
      </x:c>
      <x:c r="B7" t="str">
        <x:v>Current status as of reporting cutoff</x:v>
      </x:c>
      <x:c r="C7" t="str">
        <x:v>Text</x:v>
      </x:c>
      <x:c r="D7" t="str">
        <x:v>Yes</x:v>
      </x:c>
      <x:c r="E7" t="str">
        <x:v>Received / Completed / Pending / Withdrawn</x:v>
      </x:c>
      <x:c r="F7" t="str">
        <x:v>Case tracker</x:v>
      </x:c>
    </x:row>
    <x:row r="8">
      <x:c r="A8" t="str">
        <x:v>Amount</x:v>
      </x:c>
      <x:c r="B8" t="str">
        <x:v>Approved disbursement in pesos (sample only)</x:v>
      </x:c>
      <x:c r="C8" t="str">
        <x:v>Number</x:v>
      </x:c>
      <x:c r="D8" t="str">
        <x:v>No</x:v>
      </x:c>
      <x:c r="E8" t="str">
        <x:v>Nonnegative; 0 where none approved</x:v>
      </x:c>
      <x:c r="F8" t="str">
        <x:v>Case tracker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20" hidden="0" customWidth="1"/>
    <x:col min="4" max="4" width="24" hidden="0" customWidth="1"/>
    <x:col min="5" max="5" width="15" hidden="0" customWidth="1"/>
    <x:col min="6" max="6" width="32" hidden="0" customWidth="1"/>
    <x:col min="7" max="7" width="40" hidden="0" customWidth="1"/>
  </x:cols>
  <x:sheetData>
    <x:row r="1" ht="32" customHeight="1">
      <x:c r="A1" s="3" t="str">
        <x:v>Reporting period</x:v>
      </x:c>
      <x:c r="B1" s="3" t="str">
        <x:v>Source file</x:v>
      </x:c>
      <x:c r="C1" s="3" t="str">
        <x:v>Date received</x:v>
      </x:c>
      <x:c r="D1" s="3" t="str">
        <x:v>Custodian</x:v>
      </x:c>
      <x:c r="E1" s="3" t="str">
        <x:v>Row count</x:v>
      </x:c>
      <x:c r="F1" s="3" t="str">
        <x:v>Version / location</x:v>
      </x:c>
      <x:c r="G1" s="3" t="str">
        <x:v>Notes</x:v>
      </x:c>
    </x:row>
    <x:row r="2">
      <x:c r="A2" t="str">
        <x:v>2026-09</x:v>
      </x:c>
      <x:c r="B2" t="str">
        <x:v>fictional_applications_sep.csv</x:v>
      </x:c>
      <x:c r="C2" t="str">
        <x:v>2026-10-01</x:v>
      </x:c>
      <x:c r="D2" t="str">
        <x:v>Sample office</x:v>
      </x:c>
      <x:c r="E2" t="n">
        <x:v>8</x:v>
      </x:c>
      <x:c r="F2" t="str">
        <x:v>Example only</x:v>
      </x:c>
      <x:c r="G2" t="str">
        <x:v>Use authorized records for office reporting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4" hidden="0" customWidth="1"/>
    <x:col min="5" max="5" width="22" hidden="0" customWidth="1"/>
    <x:col min="6" max="6" width="19" hidden="0" customWidth="1"/>
    <x:col min="7" max="7" width="17" hidden="0" customWidth="1"/>
  </x:cols>
  <x:sheetData>
    <x:row r="1" ht="32" customHeight="1">
      <x:c r="A1" s="3" t="str">
        <x:v>Application_ID</x:v>
      </x:c>
      <x:c r="B1" s="3" t="str">
        <x:v>Beneficiary_ID</x:v>
      </x:c>
      <x:c r="C1" s="3" t="str">
        <x:v>Received_Date</x:v>
      </x:c>
      <x:c r="D1" s="3" t="str">
        <x:v>Barangay</x:v>
      </x:c>
      <x:c r="E1" s="3" t="str">
        <x:v>Service</x:v>
      </x:c>
      <x:c r="F1" s="3" t="str">
        <x:v>Status</x:v>
      </x:c>
      <x:c r="G1" s="3" t="str">
        <x:v>Amount</x:v>
      </x:c>
    </x:row>
    <x:row r="2">
      <x:c r="A2" t="str">
        <x:v>APP-101</x:v>
      </x:c>
      <x:c r="B2" t="str">
        <x:v>BEN-01</x:v>
      </x:c>
      <x:c r="C2" t="str">
        <x:v>2026-09-02</x:v>
      </x:c>
      <x:c r="D2" t="str">
        <x:v>Barangay A</x:v>
      </x:c>
      <x:c r="E2" t="str">
        <x:v>Training</x:v>
      </x:c>
      <x:c r="F2" t="str">
        <x:v>Completed</x:v>
      </x:c>
      <x:c r="G2" t="n">
        <x:v>1500</x:v>
      </x:c>
    </x:row>
    <x:row r="3">
      <x:c r="A3" t="str">
        <x:v>APP-102</x:v>
      </x:c>
      <x:c r="B3" t="str">
        <x:v>BEN-02</x:v>
      </x:c>
      <x:c r="C3" t="str">
        <x:v>2026-09-04</x:v>
      </x:c>
      <x:c r="D3" t="str">
        <x:v>Barangay B</x:v>
      </x:c>
      <x:c r="E3" t="str">
        <x:v>Training</x:v>
      </x:c>
      <x:c r="F3" t="str">
        <x:v>Pending</x:v>
      </x:c>
      <x:c r="G3" t="n">
        <x:v>0</x:v>
      </x:c>
    </x:row>
    <x:row r="4">
      <x:c r="A4" t="str">
        <x:v>APP-103</x:v>
      </x:c>
      <x:c r="B4" t="str">
        <x:v>BEN-01</x:v>
      </x:c>
      <x:c r="C4" t="str">
        <x:v>2026-09-07</x:v>
      </x:c>
      <x:c r="D4" t="str">
        <x:v>Barangay A</x:v>
      </x:c>
      <x:c r="E4" t="str">
        <x:v>Referral</x:v>
      </x:c>
      <x:c r="F4" t="str">
        <x:v>Completed</x:v>
      </x:c>
      <x:c r="G4" t="n">
        <x:v>0</x:v>
      </x:c>
    </x:row>
    <x:row r="5">
      <x:c r="A5" t="str">
        <x:v>APP-104</x:v>
      </x:c>
      <x:c r="B5" t="str">
        <x:v>BEN-03</x:v>
      </x:c>
      <x:c r="C5" t="str">
        <x:v>2026-09-09</x:v>
      </x:c>
      <x:c r="D5" t="str">
        <x:v>Barangay C</x:v>
      </x:c>
      <x:c r="E5" t="str">
        <x:v>Training</x:v>
      </x:c>
      <x:c r="F5" t="str">
        <x:v>Withdrawn</x:v>
      </x:c>
      <x:c r="G5" t="n">
        <x:v>0</x:v>
      </x:c>
    </x:row>
    <x:row r="6">
      <x:c r="A6" t="str">
        <x:v>APP-105</x:v>
      </x:c>
      <x:c r="B6" t="str">
        <x:v>BEN-04</x:v>
      </x:c>
      <x:c r="C6" t="str">
        <x:v>2026-09-12</x:v>
      </x:c>
      <x:c r="D6" t="str">
        <x:v>Barangay B</x:v>
      </x:c>
      <x:c r="E6" t="str">
        <x:v>Referral</x:v>
      </x:c>
      <x:c r="F6" t="str">
        <x:v>Completed</x:v>
      </x:c>
      <x:c r="G6" t="n">
        <x:v>0</x:v>
      </x:c>
    </x:row>
    <x:row r="7">
      <x:c r="A7" t="str">
        <x:v>APP-106</x:v>
      </x:c>
      <x:c r="B7" t="str">
        <x:v>BEN-05</x:v>
      </x:c>
      <x:c r="C7" t="str">
        <x:v>2026-09-16</x:v>
      </x:c>
      <x:c r="D7" t="str">
        <x:v>Barangay A </x:v>
      </x:c>
      <x:c r="E7" t="str">
        <x:v>Training</x:v>
      </x:c>
      <x:c r="F7" t="str">
        <x:v>Pending</x:v>
      </x:c>
      <x:c r="G7" t="n">
        <x:v>0</x:v>
      </x:c>
    </x:row>
    <x:row r="8">
      <x:c r="A8" t="str">
        <x:v>APP-107</x:v>
      </x:c>
      <x:c r="B8" t="str">
        <x:v>BEN-06</x:v>
      </x:c>
      <x:c r="C8" t="str">
        <x:v>2026-09-18</x:v>
      </x:c>
      <x:c r="D8" t="str">
        <x:v>Barangay C</x:v>
      </x:c>
      <x:c r="E8" t="str">
        <x:v>Training</x:v>
      </x:c>
      <x:c r="F8" t="str">
        <x:v>Completed</x:v>
      </x:c>
      <x:c r="G8" t="n">
        <x:v>2500</x:v>
      </x:c>
    </x:row>
    <x:row r="9">
      <x:c r="A9" t="str">
        <x:v>APP-108</x:v>
      </x:c>
      <x:c r="B9" t="str">
        <x:v>BEN-07</x:v>
      </x:c>
      <x:c r="C9" t="str">
        <x:v>2026-09-22</x:v>
      </x:c>
      <x:c r="D9" t="str">
        <x:v>Barangay B</x:v>
      </x:c>
      <x:c r="E9" t="str">
        <x:v>Referral</x:v>
      </x:c>
      <x:c r="F9" t="str">
        <x:v>Received</x:v>
      </x:c>
      <x:c r="G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2" hidden="0" customWidth="1"/>
  </x:cols>
  <x:sheetData>
    <x:row r="1" ht="32" customHeight="1">
      <x:c r="A1" s="3" t="str">
        <x:v>Approved barangay</x:v>
      </x:c>
      <x:c r="B1" s="3" t="str">
        <x:v>Approved service</x:v>
      </x:c>
      <x:c r="C1" s="3" t="str">
        <x:v>Approved status</x:v>
      </x:c>
    </x:row>
    <x:row r="2">
      <x:c r="A2" t="str">
        <x:v>Barangay A</x:v>
      </x:c>
      <x:c r="B2" t="str">
        <x:v>Training</x:v>
      </x:c>
      <x:c r="C2" t="str">
        <x:v>Received</x:v>
      </x:c>
    </x:row>
    <x:row r="3">
      <x:c r="A3" t="str">
        <x:v>Barangay B</x:v>
      </x:c>
      <x:c r="B3" t="str">
        <x:v>Referral</x:v>
      </x:c>
      <x:c r="C3" t="str">
        <x:v>Pending</x:v>
      </x:c>
    </x:row>
    <x:row r="4">
      <x:c r="A4" t="str">
        <x:v>Barangay C</x:v>
      </x:c>
      <x:c r="B4"/>
      <x:c r="C4" t="str">
        <x:v>Completed</x:v>
      </x:c>
    </x:row>
    <x:row r="5">
      <x:c r="A5"/>
      <x:c r="B5"/>
      <x:c r="C5" t="str">
        <x:v>Withdrawn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5" hidden="0" customWidth="1"/>
    <x:col min="5" max="5" width="20" hidden="0" customWidth="1"/>
    <x:col min="6" max="6" width="20" hidden="0" customWidth="1"/>
    <x:col min="7" max="7" width="15" hidden="0" customWidth="1"/>
    <x:col min="8" max="8" width="14" hidden="0" customWidth="1"/>
    <x:col min="9" max="9" width="22" hidden="0" customWidth="1"/>
    <x:col min="10" max="10" width="20" hidden="0" customWidth="1"/>
    <x:col min="11" max="11" width="22" hidden="0" customWidth="1"/>
  </x:cols>
  <x:sheetData>
    <x:row r="1" ht="32" customHeight="1">
      <x:c r="A1" s="3" t="str">
        <x:v>Application_ID</x:v>
      </x:c>
      <x:c r="B1" s="3" t="str">
        <x:v>Beneficiary_ID</x:v>
      </x:c>
      <x:c r="C1" s="3" t="str">
        <x:v>Received_Date</x:v>
      </x:c>
      <x:c r="D1" s="3" t="str">
        <x:v>Barangay_Clean</x:v>
      </x:c>
      <x:c r="E1" s="3" t="str">
        <x:v>Service</x:v>
      </x:c>
      <x:c r="F1" s="3" t="str">
        <x:v>Status</x:v>
      </x:c>
      <x:c r="G1" s="3" t="str">
        <x:v>Amount</x:v>
      </x:c>
      <x:c r="H1" s="3" t="str">
        <x:v>ID_Count</x:v>
      </x:c>
      <x:c r="I1" s="3" t="str">
        <x:v>Barangay_Check</x:v>
      </x:c>
      <x:c r="J1" s="3" t="str">
        <x:v>Status_Check</x:v>
      </x:c>
      <x:c r="K1" s="3" t="str">
        <x:v>Review_Flag</x:v>
      </x:c>
    </x:row>
    <x:row r="2">
      <x:c r="A2" t="str">
        <x:f>Raw_Data!A2</x:f>
        <x:v>APP-101</x:v>
      </x:c>
      <x:c r="B2" t="str">
        <x:f>Raw_Data!B2</x:f>
        <x:v>BEN-01</x:v>
      </x:c>
      <x:c r="C2" t="str">
        <x:f>Raw_Data!C2</x:f>
        <x:v>2026-09-02</x:v>
      </x:c>
      <x:c r="D2" t="str">
        <x:f>TRIM(Raw_Data!D2)</x:f>
        <x:v>Barangay A</x:v>
      </x:c>
      <x:c r="E2" t="str">
        <x:f>Raw_Data!E2</x:f>
        <x:v>Training</x:v>
      </x:c>
      <x:c r="F2" t="str">
        <x:f>Raw_Data!F2</x:f>
        <x:v>Completed</x:v>
      </x:c>
      <x:c r="G2" t="n">
        <x:f>Raw_Data!G2</x:f>
        <x:v>1500</x:v>
      </x:c>
      <x:c r="H2" t="n">
        <x:f>COUNTIF($A$2:$A$9,A2)</x:f>
        <x:v>1</x:v>
      </x:c>
      <x:c r="I2" t="str">
        <x:f>IF(COUNTIF(Reference_Lists!$A$2:$A$4,D2)&gt;0,"Valid","Review")</x:f>
        <x:v>Valid</x:v>
      </x:c>
      <x:c r="J2" t="str">
        <x:f>IF(COUNTIF(Reference_Lists!$C$2:$C$5,F2)&gt;0,"Valid","Review")</x:f>
        <x:v>Valid</x:v>
      </x:c>
      <x:c r="K2" t="str">
        <x:f>IF(OR(H2&gt;1,I2&lt;&gt;"Valid",J2&lt;&gt;"Valid"),"Review","Ready")</x:f>
        <x:v>Ready</x:v>
      </x:c>
    </x:row>
    <x:row r="3">
      <x:c r="A3" t="str">
        <x:f>Raw_Data!A3</x:f>
        <x:v>APP-102</x:v>
      </x:c>
      <x:c r="B3" t="str">
        <x:f>Raw_Data!B3</x:f>
        <x:v>BEN-02</x:v>
      </x:c>
      <x:c r="C3" t="str">
        <x:f>Raw_Data!C3</x:f>
        <x:v>2026-09-04</x:v>
      </x:c>
      <x:c r="D3" t="str">
        <x:f>TRIM(Raw_Data!D3)</x:f>
        <x:v>Barangay B</x:v>
      </x:c>
      <x:c r="E3" t="str">
        <x:f>Raw_Data!E3</x:f>
        <x:v>Training</x:v>
      </x:c>
      <x:c r="F3" t="str">
        <x:f>Raw_Data!F3</x:f>
        <x:v>Pending</x:v>
      </x:c>
      <x:c r="G3" t="n">
        <x:f>Raw_Data!G3</x:f>
        <x:v>0</x:v>
      </x:c>
      <x:c r="H3" t="n">
        <x:f>COUNTIF($A$2:$A$9,A3)</x:f>
        <x:v>1</x:v>
      </x:c>
      <x:c r="I3" t="str">
        <x:f>IF(COUNTIF(Reference_Lists!$A$2:$A$4,D3)&gt;0,"Valid","Review")</x:f>
        <x:v>Valid</x:v>
      </x:c>
      <x:c r="J3" t="str">
        <x:f>IF(COUNTIF(Reference_Lists!$C$2:$C$5,F3)&gt;0,"Valid","Review")</x:f>
        <x:v>Valid</x:v>
      </x:c>
      <x:c r="K3" t="str">
        <x:f>IF(OR(H3&gt;1,I3&lt;&gt;"Valid",J3&lt;&gt;"Valid"),"Review","Ready")</x:f>
        <x:v>Ready</x:v>
      </x:c>
    </x:row>
    <x:row r="4">
      <x:c r="A4" t="str">
        <x:f>Raw_Data!A4</x:f>
        <x:v>APP-103</x:v>
      </x:c>
      <x:c r="B4" t="str">
        <x:f>Raw_Data!B4</x:f>
        <x:v>BEN-01</x:v>
      </x:c>
      <x:c r="C4" t="str">
        <x:f>Raw_Data!C4</x:f>
        <x:v>2026-09-07</x:v>
      </x:c>
      <x:c r="D4" t="str">
        <x:f>TRIM(Raw_Data!D4)</x:f>
        <x:v>Barangay A</x:v>
      </x:c>
      <x:c r="E4" t="str">
        <x:f>Raw_Data!E4</x:f>
        <x:v>Referral</x:v>
      </x:c>
      <x:c r="F4" t="str">
        <x:f>Raw_Data!F4</x:f>
        <x:v>Completed</x:v>
      </x:c>
      <x:c r="G4" t="n">
        <x:f>Raw_Data!G4</x:f>
        <x:v>0</x:v>
      </x:c>
      <x:c r="H4" t="n">
        <x:f>COUNTIF($A$2:$A$9,A4)</x:f>
        <x:v>1</x:v>
      </x:c>
      <x:c r="I4" t="str">
        <x:f>IF(COUNTIF(Reference_Lists!$A$2:$A$4,D4)&gt;0,"Valid","Review")</x:f>
        <x:v>Valid</x:v>
      </x:c>
      <x:c r="J4" t="str">
        <x:f>IF(COUNTIF(Reference_Lists!$C$2:$C$5,F4)&gt;0,"Valid","Review")</x:f>
        <x:v>Valid</x:v>
      </x:c>
      <x:c r="K4" t="str">
        <x:f>IF(OR(H4&gt;1,I4&lt;&gt;"Valid",J4&lt;&gt;"Valid"),"Review","Ready")</x:f>
        <x:v>Ready</x:v>
      </x:c>
    </x:row>
    <x:row r="5">
      <x:c r="A5" t="str">
        <x:f>Raw_Data!A5</x:f>
        <x:v>APP-104</x:v>
      </x:c>
      <x:c r="B5" t="str">
        <x:f>Raw_Data!B5</x:f>
        <x:v>BEN-03</x:v>
      </x:c>
      <x:c r="C5" t="str">
        <x:f>Raw_Data!C5</x:f>
        <x:v>2026-09-09</x:v>
      </x:c>
      <x:c r="D5" t="str">
        <x:f>TRIM(Raw_Data!D5)</x:f>
        <x:v>Barangay C</x:v>
      </x:c>
      <x:c r="E5" t="str">
        <x:f>Raw_Data!E5</x:f>
        <x:v>Training</x:v>
      </x:c>
      <x:c r="F5" t="str">
        <x:f>Raw_Data!F5</x:f>
        <x:v>Withdrawn</x:v>
      </x:c>
      <x:c r="G5" t="n">
        <x:f>Raw_Data!G5</x:f>
        <x:v>0</x:v>
      </x:c>
      <x:c r="H5" t="n">
        <x:f>COUNTIF($A$2:$A$9,A5)</x:f>
        <x:v>1</x:v>
      </x:c>
      <x:c r="I5" t="str">
        <x:f>IF(COUNTIF(Reference_Lists!$A$2:$A$4,D5)&gt;0,"Valid","Review")</x:f>
        <x:v>Valid</x:v>
      </x:c>
      <x:c r="J5" t="str">
        <x:f>IF(COUNTIF(Reference_Lists!$C$2:$C$5,F5)&gt;0,"Valid","Review")</x:f>
        <x:v>Valid</x:v>
      </x:c>
      <x:c r="K5" t="str">
        <x:f>IF(OR(H5&gt;1,I5&lt;&gt;"Valid",J5&lt;&gt;"Valid"),"Review","Ready")</x:f>
        <x:v>Ready</x:v>
      </x:c>
    </x:row>
    <x:row r="6">
      <x:c r="A6" t="str">
        <x:f>Raw_Data!A6</x:f>
        <x:v>APP-105</x:v>
      </x:c>
      <x:c r="B6" t="str">
        <x:f>Raw_Data!B6</x:f>
        <x:v>BEN-04</x:v>
      </x:c>
      <x:c r="C6" t="str">
        <x:f>Raw_Data!C6</x:f>
        <x:v>2026-09-12</x:v>
      </x:c>
      <x:c r="D6" t="str">
        <x:f>TRIM(Raw_Data!D6)</x:f>
        <x:v>Barangay B</x:v>
      </x:c>
      <x:c r="E6" t="str">
        <x:f>Raw_Data!E6</x:f>
        <x:v>Referral</x:v>
      </x:c>
      <x:c r="F6" t="str">
        <x:f>Raw_Data!F6</x:f>
        <x:v>Completed</x:v>
      </x:c>
      <x:c r="G6" t="n">
        <x:f>Raw_Data!G6</x:f>
        <x:v>0</x:v>
      </x:c>
      <x:c r="H6" t="n">
        <x:f>COUNTIF($A$2:$A$9,A6)</x:f>
        <x:v>1</x:v>
      </x:c>
      <x:c r="I6" t="str">
        <x:f>IF(COUNTIF(Reference_Lists!$A$2:$A$4,D6)&gt;0,"Valid","Review")</x:f>
        <x:v>Valid</x:v>
      </x:c>
      <x:c r="J6" t="str">
        <x:f>IF(COUNTIF(Reference_Lists!$C$2:$C$5,F6)&gt;0,"Valid","Review")</x:f>
        <x:v>Valid</x:v>
      </x:c>
      <x:c r="K6" t="str">
        <x:f>IF(OR(H6&gt;1,I6&lt;&gt;"Valid",J6&lt;&gt;"Valid"),"Review","Ready")</x:f>
        <x:v>Ready</x:v>
      </x:c>
    </x:row>
    <x:row r="7">
      <x:c r="A7" t="str">
        <x:f>Raw_Data!A7</x:f>
        <x:v>APP-106</x:v>
      </x:c>
      <x:c r="B7" t="str">
        <x:f>Raw_Data!B7</x:f>
        <x:v>BEN-05</x:v>
      </x:c>
      <x:c r="C7" t="str">
        <x:f>Raw_Data!C7</x:f>
        <x:v>2026-09-16</x:v>
      </x:c>
      <x:c r="D7" t="str">
        <x:f>TRIM(Raw_Data!D7)</x:f>
        <x:v>Barangay A</x:v>
      </x:c>
      <x:c r="E7" t="str">
        <x:f>Raw_Data!E7</x:f>
        <x:v>Training</x:v>
      </x:c>
      <x:c r="F7" t="str">
        <x:f>Raw_Data!F7</x:f>
        <x:v>Pending</x:v>
      </x:c>
      <x:c r="G7" t="n">
        <x:f>Raw_Data!G7</x:f>
        <x:v>0</x:v>
      </x:c>
      <x:c r="H7" t="n">
        <x:f>COUNTIF($A$2:$A$9,A7)</x:f>
        <x:v>1</x:v>
      </x:c>
      <x:c r="I7" t="str">
        <x:f>IF(COUNTIF(Reference_Lists!$A$2:$A$4,D7)&gt;0,"Valid","Review")</x:f>
        <x:v>Valid</x:v>
      </x:c>
      <x:c r="J7" t="str">
        <x:f>IF(COUNTIF(Reference_Lists!$C$2:$C$5,F7)&gt;0,"Valid","Review")</x:f>
        <x:v>Valid</x:v>
      </x:c>
      <x:c r="K7" t="str">
        <x:f>IF(OR(H7&gt;1,I7&lt;&gt;"Valid",J7&lt;&gt;"Valid"),"Review","Ready")</x:f>
        <x:v>Ready</x:v>
      </x:c>
    </x:row>
    <x:row r="8">
      <x:c r="A8" t="str">
        <x:f>Raw_Data!A8</x:f>
        <x:v>APP-107</x:v>
      </x:c>
      <x:c r="B8" t="str">
        <x:f>Raw_Data!B8</x:f>
        <x:v>BEN-06</x:v>
      </x:c>
      <x:c r="C8" t="str">
        <x:f>Raw_Data!C8</x:f>
        <x:v>2026-09-18</x:v>
      </x:c>
      <x:c r="D8" t="str">
        <x:f>TRIM(Raw_Data!D8)</x:f>
        <x:v>Barangay C</x:v>
      </x:c>
      <x:c r="E8" t="str">
        <x:f>Raw_Data!E8</x:f>
        <x:v>Training</x:v>
      </x:c>
      <x:c r="F8" t="str">
        <x:f>Raw_Data!F8</x:f>
        <x:v>Completed</x:v>
      </x:c>
      <x:c r="G8" t="n">
        <x:f>Raw_Data!G8</x:f>
        <x:v>2500</x:v>
      </x:c>
      <x:c r="H8" t="n">
        <x:f>COUNTIF($A$2:$A$9,A8)</x:f>
        <x:v>1</x:v>
      </x:c>
      <x:c r="I8" t="str">
        <x:f>IF(COUNTIF(Reference_Lists!$A$2:$A$4,D8)&gt;0,"Valid","Review")</x:f>
        <x:v>Valid</x:v>
      </x:c>
      <x:c r="J8" t="str">
        <x:f>IF(COUNTIF(Reference_Lists!$C$2:$C$5,F8)&gt;0,"Valid","Review")</x:f>
        <x:v>Valid</x:v>
      </x:c>
      <x:c r="K8" t="str">
        <x:f>IF(OR(H8&gt;1,I8&lt;&gt;"Valid",J8&lt;&gt;"Valid"),"Review","Ready")</x:f>
        <x:v>Ready</x:v>
      </x:c>
    </x:row>
    <x:row r="9">
      <x:c r="A9" t="str">
        <x:f>Raw_Data!A9</x:f>
        <x:v>APP-108</x:v>
      </x:c>
      <x:c r="B9" t="str">
        <x:f>Raw_Data!B9</x:f>
        <x:v>BEN-07</x:v>
      </x:c>
      <x:c r="C9" t="str">
        <x:f>Raw_Data!C9</x:f>
        <x:v>2026-09-22</x:v>
      </x:c>
      <x:c r="D9" t="str">
        <x:f>TRIM(Raw_Data!D9)</x:f>
        <x:v>Barangay B</x:v>
      </x:c>
      <x:c r="E9" t="str">
        <x:f>Raw_Data!E9</x:f>
        <x:v>Referral</x:v>
      </x:c>
      <x:c r="F9" t="str">
        <x:f>Raw_Data!F9</x:f>
        <x:v>Received</x:v>
      </x:c>
      <x:c r="G9" t="n">
        <x:f>Raw_Data!G9</x:f>
        <x:v>0</x:v>
      </x:c>
      <x:c r="H9" t="n">
        <x:f>COUNTIF($A$2:$A$9,A9)</x:f>
        <x:v>1</x:v>
      </x:c>
      <x:c r="I9" t="str">
        <x:f>IF(COUNTIF(Reference_Lists!$A$2:$A$4,D9)&gt;0,"Valid","Review")</x:f>
        <x:v>Valid</x:v>
      </x:c>
      <x:c r="J9" t="str">
        <x:f>IF(COUNTIF(Reference_Lists!$C$2:$C$5,F9)&gt;0,"Valid","Review")</x:f>
        <x:v>Valid</x:v>
      </x:c>
      <x:c r="K9" t="str">
        <x:f>IF(OR(H9&gt;1,I9&lt;&gt;"Valid",J9&lt;&gt;"Valid"),"Review","Ready")</x:f>
        <x:v>Ready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4" hidden="0" customWidth="1"/>
    <x:col min="4" max="4" width="28" hidden="0" customWidth="1"/>
    <x:col min="5" max="5" width="25" hidden="0" customWidth="1"/>
    <x:col min="6" max="6" width="18" hidden="0" customWidth="1"/>
  </x:cols>
  <x:sheetData>
    <x:row r="1" ht="32" customHeight="1">
      <x:c r="A1" s="3" t="str">
        <x:v>Application_ID</x:v>
      </x:c>
      <x:c r="B1" s="3" t="str">
        <x:v>Issue</x:v>
      </x:c>
      <x:c r="C1" s="3" t="str">
        <x:v>Evidence</x:v>
      </x:c>
      <x:c r="D1" s="3" t="str">
        <x:v>Decision</x:v>
      </x:c>
      <x:c r="E1" s="3" t="str">
        <x:v>Reviewer</x:v>
      </x:c>
      <x:c r="F1" s="3" t="str">
        <x:v>Review date</x:v>
      </x:c>
    </x:row>
    <x:row r="2">
      <x:c r="A2" t="str">
        <x:v>(enter ID)</x:v>
      </x:c>
      <x:c r="B2" t="str">
        <x:v>(describe issue)</x:v>
      </x:c>
      <x:c r="C2" t="str">
        <x:v>(source/reference)</x:v>
      </x:c>
      <x:c r="D2" t="str">
        <x:v>Pending review</x:v>
      </x:c>
      <x:c r="E2" t="str"/>
      <x:c r="F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6" hidden="0" customWidth="1"/>
    <x:col min="4" max="4" width="27" hidden="0" customWidth="1"/>
    <x:col min="5" max="5" width="31" hidden="0" customWidth="1"/>
    <x:col min="6" max="6" width="42" hidden="0" customWidth="1"/>
    <x:col min="7" max="7" width="22" hidden="0" customWidth="1"/>
  </x:cols>
  <x:sheetData>
    <x:row r="1" ht="32" customHeight="1">
      <x:c r="A1" s="3" t="str">
        <x:v>Date</x:v>
      </x:c>
      <x:c r="B1" s="3" t="str">
        <x:v>Application_ID</x:v>
      </x:c>
      <x:c r="C1" s="3" t="str">
        <x:v>Field / rule</x:v>
      </x:c>
      <x:c r="D1" s="3" t="str">
        <x:v>Original value</x:v>
      </x:c>
      <x:c r="E1" s="3" t="str">
        <x:v>New value / decision</x:v>
      </x:c>
      <x:c r="F1" s="3" t="str">
        <x:v>Reason / reference</x:v>
      </x:c>
      <x:c r="G1" s="3" t="str">
        <x:v>Reviewer</x:v>
      </x:c>
    </x:row>
    <x:row r="2">
      <x:c r="A2" t="str"/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95" hidden="0" customWidth="1"/>
  </x:cols>
  <x:sheetData>
    <x:row r="1" ht="32" customHeight="1">
      <x:c r="A1" s="3" t="str">
        <x:v>Indicator</x:v>
      </x:c>
      <x:c r="B1" s="3" t="str">
        <x:v>Value</x:v>
      </x:c>
      <x:c r="C1" s="3" t="str">
        <x:v>Definition / reporting rule</x:v>
      </x:c>
    </x:row>
    <x:row r="2">
      <x:c r="A2" t="str">
        <x:v>Applications received</x:v>
      </x:c>
      <x:c r="B2" t="n">
        <x:f>COUNTA(Working_Data!A2:A9)</x:f>
        <x:v>8</x:v>
      </x:c>
      <x:c r="C2" t="str">
        <x:v>One row per application; sample period September 2026</x:v>
      </x:c>
    </x:row>
    <x:row r="3">
      <x:c r="A3" t="str">
        <x:v>Unique beneficiaries</x:v>
      </x:c>
      <x:c r="B3" t="e">
        <x:f>SUMPRODUCT((Working_Data!B2:B9&lt;&gt;"")/COUNTIF(Working_Data!B2:B9,Working_Data!B2:B9&amp;""))</x:f>
        <x:v>#DIV/0!</x:v>
      </x:c>
      <x:c r="C3" t="str">
        <x:v>Distinct beneficiary IDs; multiple applications per beneficiary allowed</x:v>
      </x:c>
    </x:row>
    <x:row r="4">
      <x:c r="A4" t="str">
        <x:v>Completed applications</x:v>
      </x:c>
      <x:c r="B4" t="n">
        <x:f>COUNTIF(Working_Data!F2:F9,"Completed")</x:f>
        <x:v>4</x:v>
      </x:c>
      <x:c r="C4" t="str">
        <x:v>Status = Completed</x:v>
      </x:c>
    </x:row>
    <x:row r="5">
      <x:c r="A5" t="str">
        <x:v>Pending applications</x:v>
      </x:c>
      <x:c r="B5" t="n">
        <x:f>COUNTIF(Working_Data!F2:F9,"Pending")</x:f>
        <x:v>2</x:v>
      </x:c>
      <x:c r="C5" t="str">
        <x:v>Status = Pending</x:v>
      </x:c>
    </x:row>
    <x:row r="6">
      <x:c r="A6" t="str">
        <x:v>Withdrawn applications</x:v>
      </x:c>
      <x:c r="B6" t="n">
        <x:f>COUNTIF(Working_Data!F2:F9,"Withdrawn")</x:f>
        <x:v>1</x:v>
      </x:c>
      <x:c r="C6" t="str">
        <x:v>Status = Withdrawn</x:v>
      </x:c>
    </x:row>
    <x:row r="7">
      <x:c r="A7" t="str">
        <x:v>Received / unprocessed</x:v>
      </x:c>
      <x:c r="B7" t="n">
        <x:f>COUNTIF(Working_Data!F2:F9,"Received")</x:f>
        <x:v>1</x:v>
      </x:c>
      <x:c r="C7" t="str">
        <x:v>Status = Received</x:v>
      </x:c>
    </x:row>
    <x:row r="8">
      <x:c r="A8" t="str">
        <x:v>Completion share</x:v>
      </x:c>
      <x:c r="B8" s="6" t="n">
        <x:f>IFERROR(B4/B2,0)</x:f>
        <x:v>0.5</x:v>
      </x:c>
      <x:c r="C8" t="str">
        <x:v>Completed applications divided by all applications in sample</x:v>
      </x:c>
    </x:row>
    <x:row r="9">
      <x:c r="A9" t="str">
        <x:v>Approved amount (PHP)</x:v>
      </x:c>
      <x:c r="B9" t="n">
        <x:f>SUM(Working_Data!G2:G9)</x:f>
        <x:v>4000</x:v>
      </x:c>
      <x:c r="C9" t="str">
        <x:v>Sum of Amount; fictional figures only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100" hidden="0" customWidth="1"/>
  </x:cols>
  <x:sheetData>
    <x:row r="1" ht="32" customHeight="1">
      <x:c r="A1" s="3" t="str">
        <x:v>Check</x:v>
      </x:c>
      <x:c r="B1" s="3" t="str">
        <x:v>Result</x:v>
      </x:c>
      <x:c r="C1" s="3" t="str">
        <x:v>Expected / action</x:v>
      </x:c>
    </x:row>
    <x:row r="2">
      <x:c r="A2" t="str">
        <x:v>Application IDs counted</x:v>
      </x:c>
      <x:c r="B2" t="n">
        <x:f>COUNTA(Working_Data!A2:A9)</x:f>
        <x:v>8</x:v>
      </x:c>
      <x:c r="C2" t="str">
        <x:v>8 sample applications</x:v>
      </x:c>
    </x:row>
    <x:row r="3">
      <x:c r="A3" t="str">
        <x:v>Distinct beneficiary IDs</x:v>
      </x:c>
      <x:c r="B3" t="e">
        <x:f>Summary!B3</x:f>
        <x:v>#DIV/0!</x:v>
      </x:c>
      <x:c r="C3" t="str">
        <x:v>7 sample beneficiaries (BEN-01 has two legitimate applications)</x:v>
      </x:c>
    </x:row>
    <x:row r="4">
      <x:c r="A4" t="str">
        <x:v>Repeated application IDs</x:v>
      </x:c>
      <x:c r="B4" t="n">
        <x:f>COUNTIF(Working_Data!H2:H9,"&gt;1")</x:f>
        <x:v>0</x:v>
      </x:c>
      <x:c r="C4" t="str">
        <x:v>0 expected</x:v>
      </x:c>
    </x:row>
    <x:row r="5">
      <x:c r="A5" t="str">
        <x:v>Records flagged for review</x:v>
      </x:c>
      <x:c r="B5" t="n">
        <x:f>COUNTIF(Working_Data!K2:K9,"Review")</x:f>
        <x:v>0</x:v>
      </x:c>
      <x:c r="C5" t="str">
        <x:v>0 expected after approved trim of Barangay A </x:v>
      </x:c>
    </x:row>
    <x:row r="6">
      <x:c r="A6" t="str">
        <x:v>Status totals reconcile</x:v>
      </x:c>
      <x:c r="B6" t="b">
        <x:f>Summary!B2=SUM(Summary!B4:B7)</x:f>
        <x:v>1</x:v>
      </x:c>
      <x:c r="C6" t="str">
        <x:v>TRUE expected</x:v>
      </x:c>
    </x:row>
    <x:row r="7">
      <x:c r="A7" t="str">
        <x:v>Missing application IDs</x:v>
      </x:c>
      <x:c r="B7" t="n">
        <x:f>COUNTBLANK(Raw_Data!A2:A9)</x:f>
        <x:v>0</x:v>
      </x:c>
      <x:c r="C7" t="str">
        <x:v>0 expected</x:v>
      </x:c>
    </x:row>
    <x:row r="8">
      <x:c r="A8" t="str">
        <x:v>Source record count</x:v>
      </x:c>
      <x:c r="B8" t="n">
        <x:f>COUNTA(Raw_Data!A2:A9)</x:f>
        <x:v>8</x:v>
      </x:c>
      <x:c r="C8" t="str">
        <x:v>8 raw rows; compare with Source_Register</x:v>
      </x:c>
    </x:row>
  </x:sheetData>
  <x:pageMargins left="0.7" right="0.7" top="0.75" bottom="0.75" header="0.3" footer="0.3"/>
</x:worksheet>
</file>